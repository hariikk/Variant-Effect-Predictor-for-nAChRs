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129C1F3E-4864-4E53-98AE-F7F02CFF60FC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2" i="24" l="1"/>
  <c r="H41" i="24"/>
  <c r="H41" i="23"/>
  <c r="H40" i="23"/>
  <c r="H42" i="22"/>
  <c r="H41" i="22"/>
  <c r="H41" i="21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H36" i="24"/>
  <c r="G36" i="24"/>
  <c r="G35" i="24"/>
  <c r="H35" i="24" s="1"/>
  <c r="H34" i="24"/>
  <c r="G34" i="24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H22" i="24"/>
  <c r="G22" i="24"/>
  <c r="G21" i="24"/>
  <c r="H21" i="24" s="1"/>
  <c r="H20" i="24"/>
  <c r="G20" i="24"/>
  <c r="G19" i="24"/>
  <c r="H19" i="24" s="1"/>
  <c r="H18" i="24"/>
  <c r="G18" i="24"/>
  <c r="G17" i="24"/>
  <c r="H17" i="24" s="1"/>
  <c r="H16" i="24"/>
  <c r="G16" i="24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H21" i="23"/>
  <c r="G21" i="23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H13" i="23"/>
  <c r="G13" i="23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H10" i="21"/>
  <c r="G10" i="2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H37" i="18"/>
  <c r="G37" i="18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H13" i="18"/>
  <c r="G13" i="18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H39" i="6"/>
  <c r="G37" i="6"/>
  <c r="H37" i="6" s="1"/>
  <c r="G38" i="6"/>
  <c r="H38" i="6" s="1"/>
  <c r="G39" i="6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2" i="6" l="1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<sst xmlns="http://schemas.openxmlformats.org/spreadsheetml/2006/main" count="1071" uniqueCount="425">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</sst>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408</v>
      </c>
      <c r="D2" s="75"/>
      <c r="E2" s="76"/>
      <c r="F2" s="77" t="s">
        <v>24</v>
      </c>
      <c r="G2" s="74"/>
      <c r="H2" s="35"/>
      <c r="I2" s="78" t="s">
        <v>407</v>
      </c>
      <c r="J2" s="79"/>
    </row>
    <row r="3" spans="1:14" ht="15.75" thickBot="1" x14ac:dyDescent="0.3">
      <c r="A3" s="62" t="s">
        <v>1</v>
      </c>
      <c r="B3" s="63"/>
      <c r="C3" s="64" t="s">
        <v>408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408</v>
      </c>
      <c r="D4" s="52"/>
      <c r="E4" s="53"/>
      <c r="F4" s="17" t="s">
        <v>29</v>
      </c>
      <c r="G4" s="17"/>
      <c r="H4" s="17"/>
      <c r="I4" s="54" t="s">
        <v>408</v>
      </c>
      <c r="J4" s="55"/>
    </row>
    <row r="5" spans="1:14" x14ac:dyDescent="0.25">
      <c r="A5" s="21" t="s">
        <v>122</v>
      </c>
      <c r="B5" s="22"/>
      <c r="C5" s="56" t="s">
        <v>408</v>
      </c>
      <c r="D5" s="56"/>
      <c r="E5" s="57"/>
      <c r="F5" s="22" t="s">
        <v>27</v>
      </c>
      <c r="G5" s="22"/>
      <c r="H5" s="22"/>
      <c r="I5" s="58" t="s">
        <v>409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">
        <v>409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'Januar '!C2:E2</f>
        <v>XXX</v>
      </c>
      <c r="D2" s="75"/>
      <c r="E2" s="76"/>
      <c r="F2" s="77" t="s">
        <v>24</v>
      </c>
      <c r="G2" s="74"/>
      <c r="H2" s="35"/>
      <c r="I2" s="78" t="s">
        <v>406</v>
      </c>
      <c r="J2" s="79"/>
    </row>
    <row r="3" spans="1:14" ht="15.75" thickBot="1" x14ac:dyDescent="0.3">
      <c r="A3" s="62" t="s">
        <v>1</v>
      </c>
      <c r="B3" s="63"/>
      <c r="C3" s="64" t="str">
        <f>'Januar '!C3:E3</f>
        <v>XXX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'Januar '!C4:E4</f>
        <v>XXX</v>
      </c>
      <c r="D4" s="52"/>
      <c r="E4" s="53"/>
      <c r="F4" s="17" t="s">
        <v>29</v>
      </c>
      <c r="G4" s="17"/>
      <c r="H4" s="17"/>
      <c r="I4" s="54" t="str">
        <f>'Januar '!I4:J4</f>
        <v>XXX</v>
      </c>
      <c r="J4" s="55"/>
    </row>
    <row r="5" spans="1:14" x14ac:dyDescent="0.25">
      <c r="A5" s="21" t="s">
        <v>122</v>
      </c>
      <c r="B5" s="22"/>
      <c r="C5" s="56" t="str">
        <f>'Januar '!C5:E5</f>
        <v>XXX</v>
      </c>
      <c r="D5" s="56"/>
      <c r="E5" s="57"/>
      <c r="F5" s="22" t="s">
        <v>27</v>
      </c>
      <c r="G5" s="22"/>
      <c r="H5" s="22"/>
      <c r="I5" s="58" t="str">
        <f>'Januar '!I5:J5</f>
        <v>XX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'Januar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abSelected="1" workbookViewId="0">
      <selection activeCell="D27" sqref="D27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420</v>
      </c>
      <c r="D2" s="75"/>
      <c r="E2" s="76"/>
      <c r="F2" s="77" t="s">
        <v>24</v>
      </c>
      <c r="G2" s="74"/>
      <c r="H2" s="35"/>
      <c r="I2" s="78" t="s">
        <v>89</v>
      </c>
      <c r="J2" s="79"/>
    </row>
    <row r="3" spans="1:14" ht="15.75" thickBot="1" x14ac:dyDescent="0.3">
      <c r="A3" s="62" t="s">
        <v>1</v>
      </c>
      <c r="B3" s="63"/>
      <c r="C3" s="64" t="s">
        <v>421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422</v>
      </c>
      <c r="D4" s="52"/>
      <c r="E4" s="53"/>
      <c r="F4" s="17" t="s">
        <v>29</v>
      </c>
      <c r="G4" s="17"/>
      <c r="H4" s="17"/>
      <c r="I4" s="54" t="s">
        <v>424</v>
      </c>
      <c r="J4" s="55"/>
    </row>
    <row r="5" spans="1:14" x14ac:dyDescent="0.25">
      <c r="A5" s="21" t="s">
        <v>122</v>
      </c>
      <c r="B5" s="22"/>
      <c r="C5" s="56" t="s">
        <v>423</v>
      </c>
      <c r="D5" s="56"/>
      <c r="E5" s="57"/>
      <c r="F5" s="22" t="s">
        <v>27</v>
      </c>
      <c r="G5" s="22"/>
      <c r="H5" s="22"/>
      <c r="I5" s="58"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'Februar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>
        <v>0.58333333333333337</v>
      </c>
      <c r="E26" s="29">
        <v>0.75</v>
      </c>
      <c r="F26" s="29">
        <v>2.7777777777777776E-2</v>
      </c>
      <c r="G26" s="6">
        <f t="shared" si="0"/>
        <v>0.13888888888888884</v>
      </c>
      <c r="H26" s="26">
        <f t="shared" si="1"/>
        <v>0.13888888888888884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0.82638888888888895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0.82638888888888895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'März '!C2:E2</f>
        <v>Hari Krishna</v>
      </c>
      <c r="D2" s="75"/>
      <c r="E2" s="76"/>
      <c r="F2" s="77" t="s">
        <v>24</v>
      </c>
      <c r="G2" s="74"/>
      <c r="H2" s="35"/>
      <c r="I2" s="78" t="s">
        <v>121</v>
      </c>
      <c r="J2" s="79"/>
    </row>
    <row r="3" spans="1:14" ht="15.75" thickBot="1" x14ac:dyDescent="0.3">
      <c r="A3" s="62" t="s">
        <v>1</v>
      </c>
      <c r="B3" s="63"/>
      <c r="C3" s="64" t="str">
        <f>'März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'März '!C4:E4</f>
        <v>07.11.2001</v>
      </c>
      <c r="D4" s="52"/>
      <c r="E4" s="53"/>
      <c r="F4" s="17" t="s">
        <v>29</v>
      </c>
      <c r="G4" s="17"/>
      <c r="H4" s="17"/>
      <c r="I4" s="54" t="str">
        <f>'März '!I4:J4</f>
        <v>01.03.2026</v>
      </c>
      <c r="J4" s="55"/>
    </row>
    <row r="5" spans="1:14" x14ac:dyDescent="0.25">
      <c r="A5" s="21" t="s">
        <v>122</v>
      </c>
      <c r="B5" s="22"/>
      <c r="C5" s="56" t="str">
        <f>'März '!C5:E5</f>
        <v>Hochschule Bonn  Rhein Sieg</v>
      </c>
      <c r="D5" s="56"/>
      <c r="E5" s="57"/>
      <c r="F5" s="22" t="s">
        <v>27</v>
      </c>
      <c r="G5" s="22"/>
      <c r="H5" s="22"/>
      <c r="I5" s="58">
        <f>'März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'März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'März '!H44</f>
        <v>0.82638888888888895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0.82638888888888895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'April '!C2:E2</f>
        <v>Hari Krishna</v>
      </c>
      <c r="D2" s="75"/>
      <c r="E2" s="76"/>
      <c r="F2" s="77" t="s">
        <v>24</v>
      </c>
      <c r="G2" s="74"/>
      <c r="H2" s="35"/>
      <c r="I2" s="78" t="s">
        <v>185</v>
      </c>
      <c r="J2" s="79"/>
    </row>
    <row r="3" spans="1:14" ht="15.75" thickBot="1" x14ac:dyDescent="0.3">
      <c r="A3" s="62" t="s">
        <v>1</v>
      </c>
      <c r="B3" s="63"/>
      <c r="C3" s="64" t="str">
        <f>'April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'April '!C4:E4</f>
        <v>07.11.2001</v>
      </c>
      <c r="D4" s="52"/>
      <c r="E4" s="53"/>
      <c r="F4" s="17" t="s">
        <v>29</v>
      </c>
      <c r="G4" s="17"/>
      <c r="H4" s="17"/>
      <c r="I4" s="54" t="str">
        <f>'April '!I4:J4</f>
        <v>01.03.2026</v>
      </c>
      <c r="J4" s="55"/>
    </row>
    <row r="5" spans="1:14" x14ac:dyDescent="0.25">
      <c r="A5" s="21" t="s">
        <v>122</v>
      </c>
      <c r="B5" s="22"/>
      <c r="C5" s="56" t="str">
        <f>'April '!C5:E5</f>
        <v>Hochschule Bonn  Rhein Sieg</v>
      </c>
      <c r="D5" s="56"/>
      <c r="E5" s="57"/>
      <c r="F5" s="22" t="s">
        <v>27</v>
      </c>
      <c r="G5" s="22"/>
      <c r="H5" s="22"/>
      <c r="I5" s="58">
        <f>'April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'April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'April '!H43</f>
        <v>0.82638888888888895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0.82638888888888895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'Mai '!C2:E2</f>
        <v>Hari Krishna</v>
      </c>
      <c r="D2" s="75"/>
      <c r="E2" s="76"/>
      <c r="F2" s="77" t="s">
        <v>24</v>
      </c>
      <c r="G2" s="74"/>
      <c r="H2" s="35"/>
      <c r="I2" s="78" t="s">
        <v>184</v>
      </c>
      <c r="J2" s="79"/>
    </row>
    <row r="3" spans="1:14" ht="15.75" thickBot="1" x14ac:dyDescent="0.3">
      <c r="A3" s="62" t="s">
        <v>1</v>
      </c>
      <c r="B3" s="63"/>
      <c r="C3" s="64" t="str">
        <f>'Mai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'Mai '!C4:E4</f>
        <v>07.11.2001</v>
      </c>
      <c r="D4" s="52"/>
      <c r="E4" s="53"/>
      <c r="F4" s="17" t="s">
        <v>29</v>
      </c>
      <c r="G4" s="17"/>
      <c r="H4" s="17"/>
      <c r="I4" s="54" t="str">
        <f>'Mai '!I4:J4</f>
        <v>01.03.2026</v>
      </c>
      <c r="J4" s="55"/>
    </row>
    <row r="5" spans="1:14" x14ac:dyDescent="0.25">
      <c r="A5" s="21" t="s">
        <v>122</v>
      </c>
      <c r="B5" s="22"/>
      <c r="C5" s="56" t="str">
        <f>'Mai '!C5:E5</f>
        <v>Hochschule Bonn  Rhein Sieg</v>
      </c>
      <c r="D5" s="56"/>
      <c r="E5" s="57"/>
      <c r="F5" s="22" t="s">
        <v>27</v>
      </c>
      <c r="G5" s="22"/>
      <c r="H5" s="22"/>
      <c r="I5" s="58">
        <f>'Mai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'Mai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'Mai '!H44</f>
        <v>0.82638888888888895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0.82638888888888895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'Juni '!C2:E2</f>
        <v>Hari Krishna</v>
      </c>
      <c r="D2" s="75"/>
      <c r="E2" s="76"/>
      <c r="F2" s="77" t="s">
        <v>24</v>
      </c>
      <c r="G2" s="74"/>
      <c r="H2" s="35"/>
      <c r="I2" s="78" t="s">
        <v>247</v>
      </c>
      <c r="J2" s="79"/>
    </row>
    <row r="3" spans="1:14" ht="15.75" thickBot="1" x14ac:dyDescent="0.3">
      <c r="A3" s="62" t="s">
        <v>1</v>
      </c>
      <c r="B3" s="63"/>
      <c r="C3" s="64" t="str">
        <f>'Juni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'Juni '!C4:E4</f>
        <v>07.11.2001</v>
      </c>
      <c r="D4" s="52"/>
      <c r="E4" s="53"/>
      <c r="F4" s="17" t="s">
        <v>29</v>
      </c>
      <c r="G4" s="17"/>
      <c r="H4" s="17"/>
      <c r="I4" s="54" t="str">
        <f>'Juni '!I4:J4</f>
        <v>01.03.2026</v>
      </c>
      <c r="J4" s="55"/>
    </row>
    <row r="5" spans="1:14" x14ac:dyDescent="0.25">
      <c r="A5" s="21" t="s">
        <v>122</v>
      </c>
      <c r="B5" s="22"/>
      <c r="C5" s="56" t="str">
        <f>'Juni '!C5:E5</f>
        <v>Hochschule Bonn  Rhein Sieg</v>
      </c>
      <c r="D5" s="56"/>
      <c r="E5" s="57"/>
      <c r="F5" s="22" t="s">
        <v>27</v>
      </c>
      <c r="G5" s="22"/>
      <c r="H5" s="22"/>
      <c r="I5" s="58">
        <f>'Juni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'Juni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'Juni '!H43</f>
        <v>0.82638888888888895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0.82638888888888895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6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'Juli '!C2:E2</f>
        <v>Hari Krishna</v>
      </c>
      <c r="D2" s="75"/>
      <c r="E2" s="76"/>
      <c r="F2" s="77" t="s">
        <v>24</v>
      </c>
      <c r="G2" s="74"/>
      <c r="H2" s="35"/>
      <c r="I2" s="78" t="s">
        <v>248</v>
      </c>
      <c r="J2" s="79"/>
    </row>
    <row r="3" spans="1:14" ht="15.75" thickBot="1" x14ac:dyDescent="0.3">
      <c r="A3" s="62" t="s">
        <v>1</v>
      </c>
      <c r="B3" s="63"/>
      <c r="C3" s="64" t="str">
        <f>'Juli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'Juli '!C4:E4</f>
        <v>07.11.2001</v>
      </c>
      <c r="D4" s="52"/>
      <c r="E4" s="53"/>
      <c r="F4" s="17" t="s">
        <v>29</v>
      </c>
      <c r="G4" s="17"/>
      <c r="H4" s="17"/>
      <c r="I4" s="54" t="str">
        <f>'Juli '!I4:J4</f>
        <v>01.03.2026</v>
      </c>
      <c r="J4" s="55"/>
    </row>
    <row r="5" spans="1:14" x14ac:dyDescent="0.25">
      <c r="A5" s="21" t="s">
        <v>122</v>
      </c>
      <c r="B5" s="22"/>
      <c r="C5" s="56" t="str">
        <f>'Juli '!C5:E5</f>
        <v>Hochschule Bonn  Rhein Sieg</v>
      </c>
      <c r="D5" s="56"/>
      <c r="E5" s="57"/>
      <c r="F5" s="22" t="s">
        <v>27</v>
      </c>
      <c r="G5" s="22"/>
      <c r="H5" s="22"/>
      <c r="I5" s="58">
        <f>'Juli '!I5:J5</f>
        <v>8</v>
      </c>
      <c r="J5" s="59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60" t="str">
        <f>'Juli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0.82638888888888895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0.82638888888888895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'August '!C2:E2</f>
        <v>Hari Krishna</v>
      </c>
      <c r="D2" s="75"/>
      <c r="E2" s="76"/>
      <c r="F2" s="77" t="s">
        <v>24</v>
      </c>
      <c r="G2" s="74"/>
      <c r="H2" s="35"/>
      <c r="I2" s="78" t="s">
        <v>280</v>
      </c>
      <c r="J2" s="79"/>
    </row>
    <row r="3" spans="1:14" ht="15.75" thickBot="1" x14ac:dyDescent="0.3">
      <c r="A3" s="62" t="s">
        <v>1</v>
      </c>
      <c r="B3" s="63"/>
      <c r="C3" s="64" t="str">
        <f>'August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'August '!C4:E4</f>
        <v>07.11.2001</v>
      </c>
      <c r="D4" s="52"/>
      <c r="E4" s="53"/>
      <c r="F4" s="17" t="s">
        <v>29</v>
      </c>
      <c r="G4" s="17"/>
      <c r="H4" s="17"/>
      <c r="I4" s="54" t="str">
        <f>'August '!I4:J4</f>
        <v>01.03.2026</v>
      </c>
      <c r="J4" s="55"/>
    </row>
    <row r="5" spans="1:14" x14ac:dyDescent="0.25">
      <c r="A5" s="21" t="s">
        <v>122</v>
      </c>
      <c r="B5" s="22"/>
      <c r="C5" s="56" t="str">
        <f>'August '!C5:E5</f>
        <v>Hochschule Bonn  Rhein Sieg</v>
      </c>
      <c r="D5" s="56"/>
      <c r="E5" s="57"/>
      <c r="F5" s="22" t="s">
        <v>27</v>
      </c>
      <c r="G5" s="22"/>
      <c r="H5" s="22"/>
      <c r="I5" s="58">
        <f>'August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'August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0.82638888888888895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0.82638888888888895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September!C2:E2</f>
        <v>Hari Krishna</v>
      </c>
      <c r="D2" s="75"/>
      <c r="E2" s="76"/>
      <c r="F2" s="77" t="s">
        <v>24</v>
      </c>
      <c r="G2" s="74"/>
      <c r="H2" s="35"/>
      <c r="I2" s="78" t="s">
        <v>311</v>
      </c>
      <c r="J2" s="79"/>
    </row>
    <row r="3" spans="1:14" ht="15.75" thickBot="1" x14ac:dyDescent="0.3">
      <c r="A3" s="62" t="s">
        <v>1</v>
      </c>
      <c r="B3" s="63"/>
      <c r="C3" s="64" t="str">
        <f>September!C3:E3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September!C4:E4</f>
        <v>07.11.2001</v>
      </c>
      <c r="D4" s="52"/>
      <c r="E4" s="53"/>
      <c r="F4" s="17" t="s">
        <v>29</v>
      </c>
      <c r="G4" s="17"/>
      <c r="H4" s="17"/>
      <c r="I4" s="54" t="str">
        <f>September!I4:J4</f>
        <v>01.03.2026</v>
      </c>
      <c r="J4" s="55"/>
    </row>
    <row r="5" spans="1:14" x14ac:dyDescent="0.25">
      <c r="A5" s="21" t="s">
        <v>122</v>
      </c>
      <c r="B5" s="22"/>
      <c r="C5" s="56" t="str">
        <f>September!C5:E5</f>
        <v>Hochschule Bonn  Rhein Sieg</v>
      </c>
      <c r="D5" s="56"/>
      <c r="E5" s="57"/>
      <c r="F5" s="22" t="s">
        <v>27</v>
      </c>
      <c r="G5" s="22"/>
      <c r="H5" s="22"/>
      <c r="I5" s="58">
        <f>September!I5:J5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September!I6:J6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0.82638888888888895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0.82638888888888895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'Oktober '!C2:E2</f>
        <v>Hari Krishna</v>
      </c>
      <c r="D2" s="75"/>
      <c r="E2" s="76"/>
      <c r="F2" s="77" t="s">
        <v>24</v>
      </c>
      <c r="G2" s="74"/>
      <c r="H2" s="35"/>
      <c r="I2" s="78" t="s">
        <v>343</v>
      </c>
      <c r="J2" s="79"/>
    </row>
    <row r="3" spans="1:14" ht="15.75" thickBot="1" x14ac:dyDescent="0.3">
      <c r="A3" s="62" t="s">
        <v>1</v>
      </c>
      <c r="B3" s="63"/>
      <c r="C3" s="64" t="str">
        <f>'Oktober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'Oktober '!C4:E4</f>
        <v>07.11.2001</v>
      </c>
      <c r="D4" s="52"/>
      <c r="E4" s="53"/>
      <c r="F4" s="17" t="s">
        <v>29</v>
      </c>
      <c r="G4" s="17"/>
      <c r="H4" s="17"/>
      <c r="I4" s="54" t="str">
        <f>'Oktober '!I4:J4</f>
        <v>01.03.2026</v>
      </c>
      <c r="J4" s="55"/>
    </row>
    <row r="5" spans="1:14" x14ac:dyDescent="0.25">
      <c r="A5" s="21" t="s">
        <v>122</v>
      </c>
      <c r="B5" s="22"/>
      <c r="C5" s="56" t="str">
        <f>'Oktober '!C5:E5</f>
        <v>Hochschule Bonn  Rhein Sieg</v>
      </c>
      <c r="D5" s="56"/>
      <c r="E5" s="57"/>
      <c r="F5" s="22" t="s">
        <v>27</v>
      </c>
      <c r="G5" s="22"/>
      <c r="H5" s="22"/>
      <c r="I5" s="58">
        <f>'Oktober '!I5:J5</f>
        <v>8</v>
      </c>
      <c r="J5" s="59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60" t="str">
        <f>'Oktober '!I6:J6</f>
        <v>XX</v>
      </c>
      <c r="J6" s="61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0.82638888888888895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0.82638888888888895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'November '!C2:E2</f>
        <v>Hari Krishna</v>
      </c>
      <c r="D2" s="75"/>
      <c r="E2" s="76"/>
      <c r="F2" s="77" t="s">
        <v>24</v>
      </c>
      <c r="G2" s="74"/>
      <c r="H2" s="35"/>
      <c r="I2" s="78" t="s">
        <v>374</v>
      </c>
      <c r="J2" s="79"/>
    </row>
    <row r="3" spans="1:14" ht="15.75" thickBot="1" x14ac:dyDescent="0.3">
      <c r="A3" s="62" t="s">
        <v>1</v>
      </c>
      <c r="B3" s="63"/>
      <c r="C3" s="64" t="str">
        <f>'November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'November '!C4:E4</f>
        <v>07.11.2001</v>
      </c>
      <c r="D4" s="52"/>
      <c r="E4" s="53"/>
      <c r="F4" s="17" t="s">
        <v>29</v>
      </c>
      <c r="G4" s="17"/>
      <c r="H4" s="17"/>
      <c r="I4" s="54" t="str">
        <f>'November '!I4:J4</f>
        <v>01.03.2026</v>
      </c>
      <c r="J4" s="55"/>
    </row>
    <row r="5" spans="1:14" x14ac:dyDescent="0.25">
      <c r="A5" s="21" t="s">
        <v>122</v>
      </c>
      <c r="B5" s="22"/>
      <c r="C5" s="56" t="str">
        <f>'November '!C5:E5</f>
        <v>Hochschule Bonn  Rhein Sieg</v>
      </c>
      <c r="D5" s="56"/>
      <c r="E5" s="57"/>
      <c r="F5" s="22" t="s">
        <v>27</v>
      </c>
      <c r="G5" s="22"/>
      <c r="H5" s="22"/>
      <c r="I5" s="58">
        <f>'November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'November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0.82638888888888895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0.82638888888888895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0" t="s">
        <v>416</v>
      </c>
      <c r="B1" s="81"/>
      <c r="C1" s="81"/>
      <c r="D1" s="81"/>
      <c r="E1" s="81"/>
      <c r="F1" s="81"/>
      <c r="G1" s="81"/>
      <c r="H1" s="82"/>
    </row>
    <row r="2" spans="1:13" x14ac:dyDescent="0.25">
      <c r="A2" s="62" t="s">
        <v>0</v>
      </c>
      <c r="B2" s="63"/>
      <c r="C2" s="47" t="str">
        <f>'November '!C2:E2</f>
        <v>Hari Krishna</v>
      </c>
      <c r="D2" s="22"/>
      <c r="E2" s="22" t="s">
        <v>418</v>
      </c>
      <c r="F2" s="86"/>
      <c r="G2" s="86"/>
      <c r="H2" s="48"/>
    </row>
    <row r="3" spans="1:13" ht="15.75" thickBot="1" x14ac:dyDescent="0.3">
      <c r="A3" s="89" t="s">
        <v>1</v>
      </c>
      <c r="B3" s="67"/>
      <c r="C3" s="49" t="str">
        <f>'November '!C3:E3</f>
        <v>Mohan Raj</v>
      </c>
      <c r="D3" s="18"/>
      <c r="E3" s="18" t="s">
        <v>122</v>
      </c>
      <c r="F3" s="68"/>
      <c r="G3" s="6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4" t="s">
        <v>417</v>
      </c>
      <c r="B6" s="85"/>
      <c r="C6" s="83" t="s">
        <v>419</v>
      </c>
      <c r="D6" s="83"/>
      <c r="E6" s="83"/>
      <c r="F6" s="83"/>
      <c r="G6" s="83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7" t="s">
        <v>410</v>
      </c>
      <c r="B9" s="88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90" t="s">
        <v>407</v>
      </c>
      <c r="B10" s="91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90" t="s">
        <v>406</v>
      </c>
      <c r="B11" s="91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90" t="s">
        <v>89</v>
      </c>
      <c r="B12" s="91"/>
      <c r="C12" s="46">
        <f>'März '!H41</f>
        <v>0</v>
      </c>
      <c r="D12" s="46">
        <f>'März '!H42</f>
        <v>0.82638888888888895</v>
      </c>
      <c r="E12" s="46">
        <f>'März '!H43</f>
        <v>0</v>
      </c>
      <c r="F12" s="46"/>
      <c r="G12" s="46">
        <f>'März '!H44</f>
        <v>0.82638888888888895</v>
      </c>
      <c r="M12" s="28"/>
    </row>
    <row r="13" spans="1:13" x14ac:dyDescent="0.25">
      <c r="A13" s="90" t="s">
        <v>121</v>
      </c>
      <c r="B13" s="91"/>
      <c r="C13" s="46">
        <f>'April '!H40</f>
        <v>0</v>
      </c>
      <c r="D13" s="46">
        <f>'April '!H41</f>
        <v>0</v>
      </c>
      <c r="E13" s="46">
        <f>'April '!H42</f>
        <v>0.82638888888888895</v>
      </c>
      <c r="F13" s="46"/>
      <c r="G13" s="46">
        <f>'April '!H43</f>
        <v>0.82638888888888895</v>
      </c>
    </row>
    <row r="14" spans="1:13" ht="15" customHeight="1" x14ac:dyDescent="0.25">
      <c r="A14" s="90" t="s">
        <v>185</v>
      </c>
      <c r="B14" s="91"/>
      <c r="C14" s="46">
        <f>'Mai '!H41</f>
        <v>0</v>
      </c>
      <c r="D14" s="46">
        <f>'Mai '!H42</f>
        <v>0</v>
      </c>
      <c r="E14" s="46">
        <f>'Mai '!H43</f>
        <v>0.82638888888888895</v>
      </c>
      <c r="F14" s="46"/>
      <c r="G14" s="46">
        <f>'Mai '!H44</f>
        <v>0.82638888888888895</v>
      </c>
    </row>
    <row r="15" spans="1:13" x14ac:dyDescent="0.25">
      <c r="A15" s="90" t="s">
        <v>184</v>
      </c>
      <c r="B15" s="91"/>
      <c r="C15" s="46">
        <f>'Juni '!H40</f>
        <v>0</v>
      </c>
      <c r="D15" s="46">
        <f>'Juni '!H41</f>
        <v>0</v>
      </c>
      <c r="E15" s="46">
        <f>'Juni '!H42</f>
        <v>0.82638888888888895</v>
      </c>
      <c r="F15" s="46"/>
      <c r="G15" s="46">
        <f>'Juni '!H43</f>
        <v>0.82638888888888895</v>
      </c>
    </row>
    <row r="16" spans="1:13" ht="15" customHeight="1" x14ac:dyDescent="0.25">
      <c r="A16" s="90" t="s">
        <v>247</v>
      </c>
      <c r="B16" s="91"/>
      <c r="C16" s="46">
        <f>'Juli '!H41</f>
        <v>0</v>
      </c>
      <c r="D16" s="46">
        <f>'Juli '!H42</f>
        <v>0</v>
      </c>
      <c r="E16" s="46">
        <f>'Juli '!H43</f>
        <v>0.82638888888888895</v>
      </c>
      <c r="F16" s="46"/>
      <c r="G16" s="46">
        <f>'Juli '!H44</f>
        <v>0.82638888888888895</v>
      </c>
    </row>
    <row r="17" spans="1:8" x14ac:dyDescent="0.25">
      <c r="A17" s="90" t="s">
        <v>248</v>
      </c>
      <c r="B17" s="91"/>
      <c r="C17" s="46">
        <f>'August '!H41</f>
        <v>0</v>
      </c>
      <c r="D17" s="46">
        <f>'August '!H42</f>
        <v>0</v>
      </c>
      <c r="E17" s="46">
        <f>'August '!H43</f>
        <v>0.82638888888888895</v>
      </c>
      <c r="F17" s="46"/>
      <c r="G17" s="46">
        <f>'August '!H44</f>
        <v>0.82638888888888895</v>
      </c>
    </row>
    <row r="18" spans="1:8" x14ac:dyDescent="0.25">
      <c r="A18" s="90" t="s">
        <v>280</v>
      </c>
      <c r="B18" s="91"/>
      <c r="C18" s="46">
        <f>September!H40</f>
        <v>0</v>
      </c>
      <c r="D18" s="46">
        <f>September!H41</f>
        <v>0</v>
      </c>
      <c r="E18" s="46">
        <f>September!H42</f>
        <v>0.82638888888888895</v>
      </c>
      <c r="F18" s="46"/>
      <c r="G18" s="46">
        <f>September!H43</f>
        <v>0.82638888888888895</v>
      </c>
    </row>
    <row r="19" spans="1:8" x14ac:dyDescent="0.25">
      <c r="A19" s="90" t="s">
        <v>311</v>
      </c>
      <c r="B19" s="91"/>
      <c r="C19" s="46">
        <f>'Oktober '!H41</f>
        <v>0</v>
      </c>
      <c r="D19" s="46">
        <f>'Oktober '!H42</f>
        <v>0</v>
      </c>
      <c r="E19" s="46">
        <f>'Oktober '!H43</f>
        <v>0.82638888888888895</v>
      </c>
      <c r="F19" s="46"/>
      <c r="G19" s="46">
        <f>'Oktober '!H44</f>
        <v>0.82638888888888895</v>
      </c>
    </row>
    <row r="20" spans="1:8" x14ac:dyDescent="0.25">
      <c r="A20" s="90" t="s">
        <v>343</v>
      </c>
      <c r="B20" s="91"/>
      <c r="C20" s="46">
        <f>'November '!H40</f>
        <v>0</v>
      </c>
      <c r="D20" s="46">
        <f>'November '!H41</f>
        <v>0</v>
      </c>
      <c r="E20" s="46">
        <f>'November '!H42</f>
        <v>0.82638888888888895</v>
      </c>
      <c r="F20" s="46"/>
      <c r="G20" s="46">
        <f>'November '!H43</f>
        <v>0.82638888888888895</v>
      </c>
    </row>
    <row r="21" spans="1:8" x14ac:dyDescent="0.25">
      <c r="A21" s="90" t="s">
        <v>374</v>
      </c>
      <c r="B21" s="91"/>
      <c r="C21" s="46">
        <f>'Dezember '!H41</f>
        <v>0</v>
      </c>
      <c r="D21" s="46">
        <f>'Dezember '!H42</f>
        <v>0</v>
      </c>
      <c r="E21" s="46">
        <f>'Dezember '!H43</f>
        <v>0.82638888888888895</v>
      </c>
      <c r="F21" s="46"/>
      <c r="G21" s="46">
        <f>'Dezember '!H44</f>
        <v>0.82638888888888895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  <mergeCell ref="A1:H1"/>
    <mergeCell ref="C6:G6"/>
    <mergeCell ref="A6:B6"/>
    <mergeCell ref="F2:G2"/>
    <mergeCell ref="F3:G3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2026-03-19T13:34:12Z</dcterms:modified>
</cp:coreProperties>
</file>